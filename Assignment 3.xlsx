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vijay salunkhe\Downloads\"/>
    </mc:Choice>
  </mc:AlternateContent>
  <xr:revisionPtr revIDLastSave="0" documentId="8_{EC13CE15-BDE2-40C5-8EFD-D56F6155C06C}" xr6:coauthVersionLast="47" xr6:coauthVersionMax="47" xr10:uidLastSave="{00000000-0000-0000-0000-000000000000}"/>
  <bookViews>
    <workbookView xWindow="-108" yWindow="-108" windowWidth="23256" windowHeight="12456" xr2:uid="{4C805177-93A2-495D-8FAB-A383E39AF193}"/>
  </bookViews>
  <sheets>
    <sheet name="data" sheetId="1" r:id="rId1"/>
  </sheets>
  <definedNames>
    <definedName name="_xlnm._FilterDatabase" localSheetId="0" hidden="1">data!$A$1:$G$32</definedName>
  </definedName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<sst xmlns="http://schemas.openxmlformats.org/spreadsheetml/2006/main" count="7" uniqueCount="7">
  <si>
    <t>Duration</t>
  </si>
  <si>
    <t>Date</t>
  </si>
  <si>
    <t>Pulse</t>
  </si>
  <si>
    <t>Maxpulse</t>
  </si>
  <si>
    <t>Calories</t>
  </si>
  <si>
    <t>Caloriw_Burn_Rate</t>
  </si>
  <si>
    <t>Intesity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</si>
</sst>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620B-1E0F-4F87-BCE6-8F5F6CE1E4B4}">
  <dimension ref="A1:H32"/>
  <sheetViews>
    <sheetView tabSelected="1" zoomScale="69" workbookViewId="0">
      <selection activeCell="M25" sqref="M25"/>
    </sheetView>
  </sheetViews>
  <sheetFormatPr defaultRowHeight="14.4" x14ac:dyDescent="0.3"/>
  <cols>
    <col min="2" max="2" width="15.5546875" customWidth="1"/>
    <col min="6" max="6" width="1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3">
      <c r="A2">
        <v>60</v>
      </c>
      <c r="B2" s="1">
        <v>44166</v>
      </c>
      <c r="C2">
        <v>110</v>
      </c>
      <c r="D2">
        <v>130</v>
      </c>
      <c r="E2">
        <v>409.1</v>
      </c>
      <c r="F2">
        <f>AVERAGE(E2:E32)</f>
        <v>305.41290322580642</v>
      </c>
      <c r="G2">
        <f>E2/A2</f>
        <v>6.8183333333333334</v>
      </c>
      <c r="H2" t="str">
        <f>IF(C2&gt;=110,"High", IF(C2&gt;=100,"Moderate","Low"))</f>
        <v>High</v>
      </c>
    </row>
    <row r="3" spans="1:8" x14ac:dyDescent="0.3">
      <c r="A3">
        <v>60</v>
      </c>
      <c r="B3" s="1">
        <v>44167</v>
      </c>
      <c r="C3">
        <v>117</v>
      </c>
      <c r="D3">
        <v>145</v>
      </c>
      <c r="E3">
        <v>479</v>
      </c>
      <c r="F3">
        <f>AVERAGE(E3:E33)</f>
        <v>301.95666666666665</v>
      </c>
      <c r="G3">
        <f t="shared" ref="G3:G32" si="0">E3/A3</f>
        <v>7.9833333333333334</v>
      </c>
      <c r="H3" t="str">
        <f t="shared" ref="H3:H32" si="1">IF(C3&gt;=110,"High", IF(C3&gt;=100,"Moderate","Low"))</f>
        <v>High</v>
      </c>
    </row>
    <row r="4" spans="1:8" x14ac:dyDescent="0.3">
      <c r="A4">
        <v>60</v>
      </c>
      <c r="B4" s="1">
        <v>44168</v>
      </c>
      <c r="C4">
        <v>103</v>
      </c>
      <c r="D4">
        <v>135</v>
      </c>
      <c r="E4">
        <v>340</v>
      </c>
      <c r="F4">
        <f>AVERAGE(E4:E34)</f>
        <v>295.851724137931</v>
      </c>
      <c r="G4">
        <f t="shared" si="0"/>
        <v>5.666666666666667</v>
      </c>
      <c r="H4" t="str">
        <f t="shared" si="1"/>
        <v>Moderate</v>
      </c>
    </row>
    <row r="5" spans="1:8" x14ac:dyDescent="0.3">
      <c r="A5">
        <v>45</v>
      </c>
      <c r="B5" s="1">
        <v>44169</v>
      </c>
      <c r="C5">
        <v>109</v>
      </c>
      <c r="D5">
        <v>175</v>
      </c>
      <c r="E5">
        <v>282.39999999999998</v>
      </c>
      <c r="F5">
        <f>AVERAGE(E5:E35)</f>
        <v>294.27500000000003</v>
      </c>
      <c r="G5">
        <f t="shared" si="0"/>
        <v>6.2755555555555551</v>
      </c>
      <c r="H5" t="str">
        <f t="shared" si="1"/>
        <v>Moderate</v>
      </c>
    </row>
    <row r="6" spans="1:8" x14ac:dyDescent="0.3">
      <c r="A6">
        <v>45</v>
      </c>
      <c r="B6" s="1">
        <v>44170</v>
      </c>
      <c r="C6">
        <v>117</v>
      </c>
      <c r="D6">
        <v>148</v>
      </c>
      <c r="E6">
        <v>406</v>
      </c>
      <c r="F6">
        <f>AVERAGE(E6:E36)</f>
        <v>294.71481481481482</v>
      </c>
      <c r="G6">
        <f t="shared" si="0"/>
        <v>9.0222222222222221</v>
      </c>
      <c r="H6" t="str">
        <f t="shared" si="1"/>
        <v>High</v>
      </c>
    </row>
    <row r="7" spans="1:8" x14ac:dyDescent="0.3">
      <c r="A7">
        <v>60</v>
      </c>
      <c r="B7" s="1">
        <v>44171</v>
      </c>
      <c r="C7">
        <v>102</v>
      </c>
      <c r="D7">
        <v>127</v>
      </c>
      <c r="E7">
        <v>300</v>
      </c>
      <c r="F7">
        <f>AVERAGE(E7:E37)</f>
        <v>290.43461538461537</v>
      </c>
      <c r="G7">
        <f t="shared" si="0"/>
        <v>5</v>
      </c>
      <c r="H7" t="str">
        <f t="shared" si="1"/>
        <v>Moderate</v>
      </c>
    </row>
    <row r="8" spans="1:8" x14ac:dyDescent="0.3">
      <c r="A8">
        <v>60</v>
      </c>
      <c r="B8" s="1">
        <v>44172</v>
      </c>
      <c r="C8">
        <v>110</v>
      </c>
      <c r="D8">
        <v>136</v>
      </c>
      <c r="E8">
        <v>374</v>
      </c>
      <c r="F8">
        <f>AVERAGE(E8:E38)</f>
        <v>290.05200000000002</v>
      </c>
      <c r="G8">
        <f t="shared" si="0"/>
        <v>6.2333333333333334</v>
      </c>
      <c r="H8" t="str">
        <f t="shared" si="1"/>
        <v>High</v>
      </c>
    </row>
    <row r="9" spans="1:8" x14ac:dyDescent="0.3">
      <c r="A9">
        <v>45</v>
      </c>
      <c r="B9" s="1">
        <v>44173</v>
      </c>
      <c r="C9">
        <v>104</v>
      </c>
      <c r="D9">
        <v>134</v>
      </c>
      <c r="E9">
        <v>253.3</v>
      </c>
      <c r="F9">
        <f>AVERAGE(E9:E39)</f>
        <v>286.55416666666667</v>
      </c>
      <c r="G9">
        <f t="shared" si="0"/>
        <v>5.6288888888888895</v>
      </c>
      <c r="H9" t="str">
        <f t="shared" si="1"/>
        <v>Moderate</v>
      </c>
    </row>
    <row r="10" spans="1:8" x14ac:dyDescent="0.3">
      <c r="A10">
        <v>30</v>
      </c>
      <c r="B10" s="1">
        <v>44174</v>
      </c>
      <c r="C10">
        <v>109</v>
      </c>
      <c r="D10">
        <v>133</v>
      </c>
      <c r="E10">
        <v>195.1</v>
      </c>
      <c r="F10">
        <f>AVERAGE(E10:E40)</f>
        <v>288</v>
      </c>
      <c r="G10">
        <f t="shared" si="0"/>
        <v>6.503333333333333</v>
      </c>
      <c r="H10" t="str">
        <f t="shared" si="1"/>
        <v>Moderate</v>
      </c>
    </row>
    <row r="11" spans="1:8" x14ac:dyDescent="0.3">
      <c r="A11">
        <v>60</v>
      </c>
      <c r="B11" s="1">
        <v>44175</v>
      </c>
      <c r="C11">
        <v>98</v>
      </c>
      <c r="D11">
        <v>124</v>
      </c>
      <c r="E11">
        <v>269</v>
      </c>
      <c r="F11">
        <f>AVERAGE(E11:E41)</f>
        <v>292.22272727272724</v>
      </c>
      <c r="G11">
        <f t="shared" si="0"/>
        <v>4.4833333333333334</v>
      </c>
      <c r="H11" t="str">
        <f t="shared" si="1"/>
        <v>Low</v>
      </c>
    </row>
    <row r="12" spans="1:8" x14ac:dyDescent="0.3">
      <c r="A12">
        <v>60</v>
      </c>
      <c r="B12" s="1">
        <v>44176</v>
      </c>
      <c r="C12">
        <v>103</v>
      </c>
      <c r="D12">
        <v>147</v>
      </c>
      <c r="E12">
        <v>329.3</v>
      </c>
      <c r="F12">
        <f>AVERAGE(E12:E42)</f>
        <v>293.32857142857142</v>
      </c>
      <c r="G12">
        <f t="shared" si="0"/>
        <v>5.4883333333333333</v>
      </c>
      <c r="H12" t="str">
        <f t="shared" si="1"/>
        <v>Moderate</v>
      </c>
    </row>
    <row r="13" spans="1:8" x14ac:dyDescent="0.3">
      <c r="A13">
        <v>60</v>
      </c>
      <c r="B13" s="1">
        <v>44177</v>
      </c>
      <c r="C13">
        <v>100</v>
      </c>
      <c r="D13">
        <v>120</v>
      </c>
      <c r="E13">
        <v>250.7</v>
      </c>
      <c r="F13">
        <f>AVERAGE(E13:E43)</f>
        <v>291.53000000000003</v>
      </c>
      <c r="G13">
        <f t="shared" si="0"/>
        <v>4.1783333333333328</v>
      </c>
      <c r="H13" t="str">
        <f t="shared" si="1"/>
        <v>Moderate</v>
      </c>
    </row>
    <row r="14" spans="1:8" x14ac:dyDescent="0.3">
      <c r="A14">
        <v>60</v>
      </c>
      <c r="B14" s="1">
        <v>44177</v>
      </c>
      <c r="C14">
        <v>100</v>
      </c>
      <c r="D14">
        <v>120</v>
      </c>
      <c r="E14">
        <v>250.7</v>
      </c>
      <c r="F14">
        <f>AVERAGE(E14:E44)</f>
        <v>293.67894736842101</v>
      </c>
      <c r="G14">
        <f t="shared" si="0"/>
        <v>4.1783333333333328</v>
      </c>
      <c r="H14" t="str">
        <f t="shared" si="1"/>
        <v>Moderate</v>
      </c>
    </row>
    <row r="15" spans="1:8" x14ac:dyDescent="0.3">
      <c r="A15">
        <v>60</v>
      </c>
      <c r="B15" s="1">
        <v>44178</v>
      </c>
      <c r="C15">
        <v>106</v>
      </c>
      <c r="D15">
        <v>128</v>
      </c>
      <c r="E15">
        <v>345.3</v>
      </c>
      <c r="F15">
        <f>AVERAGE(E15:E45)</f>
        <v>296.06666666666666</v>
      </c>
      <c r="G15">
        <f t="shared" si="0"/>
        <v>5.7549999999999999</v>
      </c>
      <c r="H15" t="str">
        <f t="shared" si="1"/>
        <v>Moderate</v>
      </c>
    </row>
    <row r="16" spans="1:8" x14ac:dyDescent="0.3">
      <c r="A16">
        <v>60</v>
      </c>
      <c r="B16" s="1">
        <v>44179</v>
      </c>
      <c r="C16">
        <v>104</v>
      </c>
      <c r="D16">
        <v>132</v>
      </c>
      <c r="E16">
        <v>379.3</v>
      </c>
      <c r="F16">
        <f>AVERAGE(E16:E46)</f>
        <v>293.17058823529413</v>
      </c>
      <c r="G16">
        <f t="shared" si="0"/>
        <v>6.3216666666666672</v>
      </c>
      <c r="H16" t="str">
        <f t="shared" si="1"/>
        <v>Moderate</v>
      </c>
    </row>
    <row r="17" spans="1:8" x14ac:dyDescent="0.3">
      <c r="A17">
        <v>60</v>
      </c>
      <c r="B17" s="1">
        <v>44180</v>
      </c>
      <c r="C17">
        <v>98</v>
      </c>
      <c r="D17">
        <v>123</v>
      </c>
      <c r="E17">
        <v>275</v>
      </c>
      <c r="F17">
        <f>AVERAGE(E17:E47)</f>
        <v>287.78750000000002</v>
      </c>
      <c r="G17">
        <f t="shared" si="0"/>
        <v>4.583333333333333</v>
      </c>
      <c r="H17" t="str">
        <f t="shared" si="1"/>
        <v>Low</v>
      </c>
    </row>
    <row r="18" spans="1:8" x14ac:dyDescent="0.3">
      <c r="A18">
        <v>60</v>
      </c>
      <c r="B18" s="1">
        <v>44181</v>
      </c>
      <c r="C18">
        <v>98</v>
      </c>
      <c r="D18">
        <v>120</v>
      </c>
      <c r="E18">
        <v>215.2</v>
      </c>
      <c r="F18">
        <f>AVERAGE(E18:E48)</f>
        <v>288.64000000000004</v>
      </c>
      <c r="G18">
        <f t="shared" si="0"/>
        <v>3.5866666666666664</v>
      </c>
      <c r="H18" t="str">
        <f t="shared" si="1"/>
        <v>Low</v>
      </c>
    </row>
    <row r="19" spans="1:8" x14ac:dyDescent="0.3">
      <c r="A19">
        <v>60</v>
      </c>
      <c r="B19" s="1">
        <v>44182</v>
      </c>
      <c r="C19">
        <v>100</v>
      </c>
      <c r="D19">
        <v>120</v>
      </c>
      <c r="E19">
        <v>300</v>
      </c>
      <c r="F19">
        <f>AVERAGE(E19:E49)</f>
        <v>293.88571428571424</v>
      </c>
      <c r="G19">
        <f t="shared" si="0"/>
        <v>5</v>
      </c>
      <c r="H19" t="str">
        <f t="shared" si="1"/>
        <v>Moderate</v>
      </c>
    </row>
    <row r="20" spans="1:8" x14ac:dyDescent="0.3">
      <c r="A20">
        <v>45</v>
      </c>
      <c r="B20" s="1">
        <v>44183</v>
      </c>
      <c r="C20">
        <v>90</v>
      </c>
      <c r="D20">
        <v>112</v>
      </c>
      <c r="E20">
        <v>304.7</v>
      </c>
      <c r="F20">
        <f>AVERAGE(E20:E50)</f>
        <v>293.4153846153846</v>
      </c>
      <c r="G20">
        <f t="shared" si="0"/>
        <v>6.7711111111111109</v>
      </c>
      <c r="H20" t="str">
        <f t="shared" si="1"/>
        <v>Low</v>
      </c>
    </row>
    <row r="21" spans="1:8" x14ac:dyDescent="0.3">
      <c r="A21">
        <v>60</v>
      </c>
      <c r="B21" s="1">
        <v>44184</v>
      </c>
      <c r="C21">
        <v>103</v>
      </c>
      <c r="D21">
        <v>123</v>
      </c>
      <c r="E21">
        <v>323</v>
      </c>
      <c r="F21">
        <f>AVERAGE(E21:E51)</f>
        <v>292.47499999999997</v>
      </c>
      <c r="G21">
        <f t="shared" si="0"/>
        <v>5.3833333333333337</v>
      </c>
      <c r="H21" t="str">
        <f t="shared" si="1"/>
        <v>Moderate</v>
      </c>
    </row>
    <row r="22" spans="1:8" x14ac:dyDescent="0.3">
      <c r="A22">
        <v>45</v>
      </c>
      <c r="B22" s="1">
        <v>44185</v>
      </c>
      <c r="C22">
        <v>97</v>
      </c>
      <c r="D22">
        <v>125</v>
      </c>
      <c r="E22">
        <v>243</v>
      </c>
      <c r="F22">
        <f>AVERAGE(E22:E52)</f>
        <v>289.70000000000005</v>
      </c>
      <c r="G22">
        <f t="shared" si="0"/>
        <v>5.4</v>
      </c>
      <c r="H22" t="str">
        <f t="shared" si="1"/>
        <v>Low</v>
      </c>
    </row>
    <row r="23" spans="1:8" x14ac:dyDescent="0.3">
      <c r="A23">
        <v>60</v>
      </c>
      <c r="B23" s="1">
        <v>44186</v>
      </c>
      <c r="C23">
        <v>108</v>
      </c>
      <c r="D23">
        <v>131</v>
      </c>
      <c r="E23">
        <v>364.2</v>
      </c>
      <c r="F23">
        <f>AVERAGE(E23:E53)</f>
        <v>294.37</v>
      </c>
      <c r="G23">
        <f t="shared" si="0"/>
        <v>6.0699999999999994</v>
      </c>
      <c r="H23" t="str">
        <f t="shared" si="1"/>
        <v>Moderate</v>
      </c>
    </row>
    <row r="24" spans="1:8" x14ac:dyDescent="0.3">
      <c r="A24">
        <v>60</v>
      </c>
      <c r="B24" s="1">
        <v>44188</v>
      </c>
      <c r="C24">
        <v>130</v>
      </c>
      <c r="D24">
        <v>101</v>
      </c>
      <c r="E24">
        <v>300</v>
      </c>
      <c r="F24">
        <f t="shared" ref="F24:F32" si="2">AVERAGE(E24:E55)</f>
        <v>286.61111111111109</v>
      </c>
      <c r="G24">
        <f t="shared" si="0"/>
        <v>5</v>
      </c>
      <c r="H24" t="str">
        <f t="shared" si="1"/>
        <v>High</v>
      </c>
    </row>
    <row r="25" spans="1:8" x14ac:dyDescent="0.3">
      <c r="A25">
        <v>45</v>
      </c>
      <c r="B25" s="1">
        <v>44189</v>
      </c>
      <c r="C25">
        <v>105</v>
      </c>
      <c r="D25">
        <v>132</v>
      </c>
      <c r="E25">
        <v>246</v>
      </c>
      <c r="F25">
        <f t="shared" si="2"/>
        <v>284.9375</v>
      </c>
      <c r="G25">
        <f t="shared" si="0"/>
        <v>5.4666666666666668</v>
      </c>
      <c r="H25" t="str">
        <f t="shared" si="1"/>
        <v>Moderate</v>
      </c>
    </row>
    <row r="26" spans="1:8" x14ac:dyDescent="0.3">
      <c r="A26">
        <v>60</v>
      </c>
      <c r="B26" s="1">
        <v>44190</v>
      </c>
      <c r="C26">
        <v>102</v>
      </c>
      <c r="D26">
        <v>126</v>
      </c>
      <c r="E26">
        <v>334.5</v>
      </c>
      <c r="F26">
        <f t="shared" si="2"/>
        <v>290.5</v>
      </c>
      <c r="G26">
        <f t="shared" si="0"/>
        <v>5.5750000000000002</v>
      </c>
      <c r="H26" t="str">
        <f t="shared" si="1"/>
        <v>Moderate</v>
      </c>
    </row>
    <row r="27" spans="1:8" x14ac:dyDescent="0.3">
      <c r="A27">
        <v>60</v>
      </c>
      <c r="B27" s="2">
        <v>44191</v>
      </c>
      <c r="C27">
        <v>100</v>
      </c>
      <c r="D27">
        <v>120</v>
      </c>
      <c r="E27">
        <v>250</v>
      </c>
      <c r="F27">
        <f t="shared" si="2"/>
        <v>283.16666666666669</v>
      </c>
      <c r="G27">
        <f t="shared" si="0"/>
        <v>4.166666666666667</v>
      </c>
      <c r="H27" t="str">
        <f t="shared" si="1"/>
        <v>Moderate</v>
      </c>
    </row>
    <row r="28" spans="1:8" x14ac:dyDescent="0.3">
      <c r="A28">
        <v>60</v>
      </c>
      <c r="B28" s="1">
        <v>44192</v>
      </c>
      <c r="C28">
        <v>92</v>
      </c>
      <c r="D28">
        <v>118</v>
      </c>
      <c r="E28">
        <v>241</v>
      </c>
      <c r="F28">
        <f t="shared" si="2"/>
        <v>289.8</v>
      </c>
      <c r="G28">
        <f t="shared" si="0"/>
        <v>4.0166666666666666</v>
      </c>
      <c r="H28" t="str">
        <f t="shared" si="1"/>
        <v>Low</v>
      </c>
    </row>
    <row r="29" spans="1:8" x14ac:dyDescent="0.3">
      <c r="A29">
        <v>60</v>
      </c>
      <c r="B29" s="1">
        <v>44193</v>
      </c>
      <c r="C29">
        <v>103</v>
      </c>
      <c r="D29">
        <v>132</v>
      </c>
      <c r="E29">
        <v>304.7</v>
      </c>
      <c r="F29">
        <f t="shared" si="2"/>
        <v>302</v>
      </c>
      <c r="G29">
        <f t="shared" si="0"/>
        <v>5.0783333333333331</v>
      </c>
      <c r="H29" t="str">
        <f t="shared" si="1"/>
        <v>Moderate</v>
      </c>
    </row>
    <row r="30" spans="1:8" x14ac:dyDescent="0.3">
      <c r="A30">
        <v>60</v>
      </c>
      <c r="B30" s="1">
        <v>44194</v>
      </c>
      <c r="C30">
        <v>100</v>
      </c>
      <c r="D30">
        <v>132</v>
      </c>
      <c r="E30">
        <v>280</v>
      </c>
      <c r="F30">
        <f t="shared" si="2"/>
        <v>301.09999999999997</v>
      </c>
      <c r="G30">
        <f t="shared" si="0"/>
        <v>4.666666666666667</v>
      </c>
      <c r="H30" t="str">
        <f t="shared" si="1"/>
        <v>Moderate</v>
      </c>
    </row>
    <row r="31" spans="1:8" x14ac:dyDescent="0.3">
      <c r="A31">
        <v>60</v>
      </c>
      <c r="B31" s="1">
        <v>44195</v>
      </c>
      <c r="C31">
        <v>102</v>
      </c>
      <c r="D31">
        <v>129</v>
      </c>
      <c r="E31">
        <v>380.3</v>
      </c>
      <c r="F31">
        <f t="shared" si="2"/>
        <v>311.64999999999998</v>
      </c>
      <c r="G31">
        <f t="shared" si="0"/>
        <v>6.3383333333333338</v>
      </c>
      <c r="H31" t="str">
        <f t="shared" si="1"/>
        <v>Moderate</v>
      </c>
    </row>
    <row r="32" spans="1:8" x14ac:dyDescent="0.3">
      <c r="A32">
        <v>60</v>
      </c>
      <c r="B32" s="1">
        <v>44196</v>
      </c>
      <c r="C32">
        <v>92</v>
      </c>
      <c r="D32">
        <v>115</v>
      </c>
      <c r="E32">
        <v>243</v>
      </c>
      <c r="F32">
        <f t="shared" si="2"/>
        <v>243</v>
      </c>
      <c r="G32">
        <f t="shared" si="0"/>
        <v>4.05</v>
      </c>
      <c r="H32" t="str">
        <f t="shared" si="1"/>
        <v>Low</v>
      </c>
    </row>
  </sheetData>
  <autoFilter ref="A1:G32" xr:uid="{D331620B-1E0F-4F87-BCE6-8F5F6CE1E4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Priya_Salunkhe</dc:creator>
  <cp:lastModifiedBy>Priya Salunkhe</cp:lastModifiedBy>
  <dcterms:created xsi:type="dcterms:W3CDTF">2026-09-26T13:55:02Z</dcterms:created>
  <dcterms:modified xsi:type="dcterms:W3CDTF">2026-09-26T13:55:02Z</dcterms:modified>
</cp:coreProperties>
</file>